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urce\DKV2.DEV\branches\main\docs\"/>
    </mc:Choice>
  </mc:AlternateContent>
  <xr:revisionPtr revIDLastSave="0" documentId="8_{4AA61CC4-8651-4C5A-9892-B2B153299C8D}" xr6:coauthVersionLast="47" xr6:coauthVersionMax="47" xr10:uidLastSave="{00000000-0000-0000-0000-000000000000}"/>
  <bookViews>
    <workbookView xWindow="27315" yWindow="0" windowWidth="24390" windowHeight="21705" xr2:uid="{19FC4A31-6D9C-4E35-820E-E37BD5990697}"/>
  </bookViews>
  <sheets>
    <sheet name="calc" sheetId="1" r:id="rId1"/>
    <sheet name="hel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B62" i="1"/>
  <c r="E64" i="1"/>
  <c r="B64" i="1"/>
  <c r="E63" i="1"/>
  <c r="B63" i="1"/>
  <c r="D64" i="1"/>
  <c r="C64" i="1"/>
  <c r="D63" i="1"/>
  <c r="C63" i="1"/>
  <c r="E62" i="1"/>
  <c r="E65" i="1" s="1"/>
  <c r="I61" i="1"/>
  <c r="H61" i="1"/>
  <c r="H60" i="1"/>
  <c r="C61" i="1"/>
  <c r="I60" i="1"/>
  <c r="B61" i="1" s="1"/>
  <c r="C60" i="1"/>
  <c r="B60" i="1"/>
  <c r="E58" i="1"/>
  <c r="H58" i="1" s="1"/>
  <c r="I58" i="1" s="1"/>
  <c r="B59" i="1" s="1"/>
  <c r="E59" i="1" s="1"/>
  <c r="H59" i="1" s="1"/>
  <c r="I59" i="1" s="1"/>
  <c r="C59" i="1"/>
  <c r="C58" i="1"/>
  <c r="B58" i="1"/>
  <c r="I57" i="1"/>
  <c r="H57" i="1"/>
  <c r="E57" i="1"/>
  <c r="C57" i="1"/>
  <c r="B57" i="1"/>
  <c r="I56" i="1"/>
  <c r="D50" i="1"/>
  <c r="D49" i="1"/>
  <c r="E43" i="1"/>
  <c r="E42" i="1"/>
  <c r="F42" i="1" s="1"/>
  <c r="E41" i="1"/>
  <c r="F41" i="1" s="1"/>
  <c r="B41" i="1"/>
  <c r="F40" i="1"/>
  <c r="E40" i="1"/>
  <c r="B40" i="1"/>
  <c r="I39" i="1"/>
  <c r="H39" i="1"/>
  <c r="B39" i="1"/>
  <c r="C39" i="1"/>
  <c r="I38" i="1"/>
  <c r="H38" i="1"/>
  <c r="C38" i="1"/>
  <c r="B38" i="1"/>
  <c r="I37" i="1"/>
  <c r="H37" i="1"/>
  <c r="F37" i="1"/>
  <c r="E37" i="1"/>
  <c r="B37" i="1"/>
  <c r="C37" i="1"/>
  <c r="H36" i="1"/>
  <c r="F36" i="1"/>
  <c r="E36" i="1"/>
  <c r="I36" i="1"/>
  <c r="C36" i="1"/>
  <c r="B36" i="1"/>
  <c r="C35" i="1"/>
  <c r="I34" i="1"/>
  <c r="B35" i="1" s="1"/>
  <c r="D28" i="1"/>
  <c r="E35" i="1" s="1"/>
  <c r="F35" i="1" s="1"/>
  <c r="D27" i="1"/>
  <c r="D6" i="1"/>
  <c r="E18" i="1" s="1"/>
  <c r="D5" i="1"/>
  <c r="B19" i="1"/>
  <c r="C19" i="1"/>
  <c r="C18" i="1"/>
  <c r="C17" i="1"/>
  <c r="C15" i="1"/>
  <c r="C14" i="1"/>
  <c r="C13" i="1"/>
  <c r="I12" i="1"/>
  <c r="B13" i="1" s="1"/>
  <c r="H35" i="1" l="1"/>
  <c r="I35" i="1" s="1"/>
  <c r="E13" i="1"/>
  <c r="F13" i="1" s="1"/>
  <c r="E19" i="1"/>
  <c r="F19" i="1" s="1"/>
  <c r="E20" i="1"/>
  <c r="F20" i="1" s="1"/>
  <c r="H13" i="1" l="1"/>
  <c r="I13" i="1" s="1"/>
  <c r="B14" i="1" s="1"/>
  <c r="E21" i="1"/>
  <c r="E14" i="1"/>
  <c r="F14" i="1" s="1"/>
  <c r="H14" i="1" l="1"/>
  <c r="I14" i="1" s="1"/>
  <c r="B15" i="1" l="1"/>
  <c r="E15" i="1"/>
  <c r="F15" i="1" s="1"/>
  <c r="H15" i="1" s="1"/>
  <c r="I15" i="1" s="1"/>
  <c r="B16" i="1" l="1"/>
  <c r="H16" i="1" s="1"/>
  <c r="I16" i="1" s="1"/>
  <c r="B17" i="1" s="1"/>
  <c r="H17" i="1" s="1"/>
  <c r="I17" i="1" s="1"/>
  <c r="F18" i="1"/>
  <c r="H18" i="1" s="1"/>
  <c r="H19" i="1" s="1"/>
  <c r="H20" i="1" s="1"/>
</calcChain>
</file>

<file path=xl/sharedStrings.xml><?xml version="1.0" encoding="utf-8"?>
<sst xmlns="http://schemas.openxmlformats.org/spreadsheetml/2006/main" count="99" uniqueCount="45">
  <si>
    <t>Zins</t>
  </si>
  <si>
    <t>payout</t>
  </si>
  <si>
    <t xml:space="preserve">interest model </t>
  </si>
  <si>
    <t>conclusion</t>
  </si>
  <si>
    <t xml:space="preserve">von </t>
  </si>
  <si>
    <t xml:space="preserve">bis </t>
  </si>
  <si>
    <t>Endwert</t>
  </si>
  <si>
    <t>startwert</t>
  </si>
  <si>
    <t>Zinsusance</t>
  </si>
  <si>
    <t>Act-Act</t>
  </si>
  <si>
    <t>30-360</t>
  </si>
  <si>
    <t>Zinsusanze</t>
  </si>
  <si>
    <t>Wert</t>
  </si>
  <si>
    <t>deposit</t>
  </si>
  <si>
    <t>zero</t>
  </si>
  <si>
    <t>fixed</t>
  </si>
  <si>
    <t>Unterjähriger Zins?</t>
  </si>
  <si>
    <t>änderung</t>
  </si>
  <si>
    <t>ja</t>
  </si>
  <si>
    <t>verzinslich</t>
  </si>
  <si>
    <t>initial deposit</t>
  </si>
  <si>
    <t>Zins 
Auszahlung?</t>
  </si>
  <si>
    <t>deposit | interest payout</t>
  </si>
  <si>
    <t>Buchungen</t>
  </si>
  <si>
    <t>void test_contract::test_manual_referenceCase_payoutImmediateThenDeferred()</t>
  </si>
  <si>
    <t>annual settlement 2026</t>
  </si>
  <si>
    <t>annual settlement 2025 deposit |payout</t>
  </si>
  <si>
    <t>annual settlement 2024 deposit |payout</t>
  </si>
  <si>
    <t># buchungen</t>
  </si>
  <si>
    <t>annual settlement 2026 payout</t>
  </si>
  <si>
    <t>deposit  | deferred interest</t>
  </si>
  <si>
    <t>payout  | deferred interest</t>
  </si>
  <si>
    <t>annual settlement 2026 deposit</t>
  </si>
  <si>
    <t>test_manual_referenceCase_payoutImmediateThenDeferred_actAct()</t>
  </si>
  <si>
    <t>impl. Annual settlement deposit | payout</t>
  </si>
  <si>
    <t>annual settlement 2025</t>
  </si>
  <si>
    <t>1,2,8</t>
  </si>
  <si>
    <t>2, 8</t>
  </si>
  <si>
    <t>2,1, 8</t>
  </si>
  <si>
    <t xml:space="preserve">2, 4 </t>
  </si>
  <si>
    <t>32, 2</t>
  </si>
  <si>
    <t>payout | deferred interest</t>
  </si>
  <si>
    <t>deposit | deferred interest</t>
  </si>
  <si>
    <t>test_manual_referenceCase_reinvestImmediateThenDeferred</t>
  </si>
  <si>
    <t>implicit annual selttlement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</si>
</sst>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0" borderId="0" xfId="0" quotePrefix="1"/>
    <xf numFmtId="44" fontId="0" fillId="0" borderId="0" xfId="1" applyFont="1"/>
    <xf numFmtId="44" fontId="0" fillId="0" borderId="0" xfId="0" applyNumberFormat="1"/>
    <xf numFmtId="44" fontId="0" fillId="0" borderId="0" xfId="1" applyFont="1" applyFill="1"/>
    <xf numFmtId="0" fontId="0" fillId="0" borderId="0" xfId="0" applyAlignment="1">
      <alignment wrapText="1"/>
    </xf>
    <xf numFmtId="0" fontId="0" fillId="0" borderId="0" xfId="0" applyFill="1"/>
    <xf numFmtId="14" fontId="0" fillId="0" borderId="0" xfId="0" applyNumberFormat="1" applyFill="1"/>
    <xf numFmtId="44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/>
    <xf numFmtId="44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A901-15EB-48F8-8C08-9040E902B0D9}">
  <dimension ref="A1:K68"/>
  <sheetViews>
    <sheetView tabSelected="1" topLeftCell="A38" workbookViewId="0">
      <selection activeCell="H66" sqref="H66"/>
    </sheetView>
  </sheetViews>
  <sheetFormatPr baseColWidth="10" defaultRowHeight="15" x14ac:dyDescent="0.25"/>
  <cols>
    <col min="1" max="1" width="39.5703125" customWidth="1"/>
    <col min="2" max="2" width="17.5703125" customWidth="1"/>
    <col min="6" max="6" width="12.28515625" bestFit="1" customWidth="1"/>
    <col min="9" max="9" width="22.7109375" customWidth="1"/>
    <col min="10" max="10" width="11.85546875" customWidth="1"/>
  </cols>
  <sheetData>
    <row r="1" spans="1:11" x14ac:dyDescent="0.25">
      <c r="A1" s="13" t="s">
        <v>24</v>
      </c>
    </row>
    <row r="4" spans="1:11" x14ac:dyDescent="0.25">
      <c r="B4" t="s">
        <v>0</v>
      </c>
      <c r="C4" s="1">
        <v>1.4999999999999999E-2</v>
      </c>
    </row>
    <row r="5" spans="1:11" x14ac:dyDescent="0.25">
      <c r="B5" t="s">
        <v>2</v>
      </c>
      <c r="C5" t="s">
        <v>1</v>
      </c>
      <c r="D5">
        <f>_xlfn.XLOOKUP(C5,helper!$A$7:$A$10,helper!$B$7:$B$10)</f>
        <v>0</v>
      </c>
    </row>
    <row r="6" spans="1:11" x14ac:dyDescent="0.25">
      <c r="B6" t="s">
        <v>8</v>
      </c>
      <c r="C6" t="s">
        <v>10</v>
      </c>
      <c r="D6">
        <f>_xlfn.XLOOKUP(C6,helper!$A$3:$A$4,helper!$B$3:$B$4)</f>
        <v>4</v>
      </c>
    </row>
    <row r="7" spans="1:11" x14ac:dyDescent="0.25">
      <c r="B7" t="s">
        <v>16</v>
      </c>
      <c r="C7" t="s">
        <v>18</v>
      </c>
    </row>
    <row r="9" spans="1:11" x14ac:dyDescent="0.25">
      <c r="A9" t="s">
        <v>3</v>
      </c>
      <c r="B9" s="2">
        <v>45627</v>
      </c>
    </row>
    <row r="10" spans="1:11" x14ac:dyDescent="0.25">
      <c r="B10" s="2"/>
    </row>
    <row r="11" spans="1:11" ht="30" x14ac:dyDescent="0.25">
      <c r="B11" t="s">
        <v>7</v>
      </c>
      <c r="C11" t="s">
        <v>4</v>
      </c>
      <c r="D11" t="s">
        <v>5</v>
      </c>
      <c r="E11" t="s">
        <v>0</v>
      </c>
      <c r="F11" s="7" t="s">
        <v>21</v>
      </c>
      <c r="G11" t="s">
        <v>17</v>
      </c>
      <c r="H11" t="s">
        <v>6</v>
      </c>
      <c r="I11" t="s">
        <v>19</v>
      </c>
      <c r="J11" s="11" t="s">
        <v>23</v>
      </c>
      <c r="K11" t="s">
        <v>28</v>
      </c>
    </row>
    <row r="12" spans="1:11" x14ac:dyDescent="0.25">
      <c r="A12" s="8" t="s">
        <v>20</v>
      </c>
      <c r="B12" s="6">
        <v>0</v>
      </c>
      <c r="C12" s="8"/>
      <c r="D12" s="9">
        <v>45656</v>
      </c>
      <c r="E12" s="6"/>
      <c r="F12" s="6"/>
      <c r="G12" s="6"/>
      <c r="H12" s="6">
        <v>1000</v>
      </c>
      <c r="I12" s="10">
        <f>H12</f>
        <v>1000</v>
      </c>
      <c r="J12" s="12">
        <v>1</v>
      </c>
      <c r="K12" s="11">
        <v>1</v>
      </c>
    </row>
    <row r="13" spans="1:11" x14ac:dyDescent="0.25">
      <c r="A13" s="8" t="s">
        <v>27</v>
      </c>
      <c r="B13" s="6">
        <f>I12</f>
        <v>1000</v>
      </c>
      <c r="C13" s="9">
        <f>D12</f>
        <v>45656</v>
      </c>
      <c r="D13" s="9">
        <v>45657</v>
      </c>
      <c r="E13" s="6">
        <f>YEARFRAC(C13,D13,$D$6)*$C$4*I12</f>
        <v>0</v>
      </c>
      <c r="F13" s="6">
        <f>E13</f>
        <v>0</v>
      </c>
      <c r="G13" s="6">
        <v>0</v>
      </c>
      <c r="H13" s="6">
        <f>B13+E13+F13+G13</f>
        <v>1000</v>
      </c>
      <c r="I13" s="10">
        <f t="shared" ref="I13" si="0">H13</f>
        <v>1000</v>
      </c>
      <c r="J13" s="12" t="s">
        <v>37</v>
      </c>
      <c r="K13" s="11">
        <v>3</v>
      </c>
    </row>
    <row r="14" spans="1:11" x14ac:dyDescent="0.25">
      <c r="A14" s="8" t="s">
        <v>22</v>
      </c>
      <c r="B14" s="6">
        <f>I13</f>
        <v>1000</v>
      </c>
      <c r="C14" s="9">
        <f>D13</f>
        <v>45657</v>
      </c>
      <c r="D14" s="9">
        <v>45731</v>
      </c>
      <c r="E14" s="6">
        <f>YEARFRAC(C14,D14,$D$6)*$C$4*I13</f>
        <v>3.125</v>
      </c>
      <c r="F14" s="6">
        <f>-E14</f>
        <v>-3.125</v>
      </c>
      <c r="G14" s="6">
        <v>500</v>
      </c>
      <c r="H14" s="6">
        <f>B14+E14+F14+G14</f>
        <v>1500</v>
      </c>
      <c r="I14" s="10">
        <f>H14</f>
        <v>1500</v>
      </c>
      <c r="J14" s="12" t="s">
        <v>39</v>
      </c>
      <c r="K14" s="11">
        <v>5</v>
      </c>
    </row>
    <row r="15" spans="1:11" x14ac:dyDescent="0.25">
      <c r="A15" s="8" t="s">
        <v>26</v>
      </c>
      <c r="B15" s="6">
        <f>I14</f>
        <v>1500</v>
      </c>
      <c r="C15" s="9">
        <f>D14</f>
        <v>45731</v>
      </c>
      <c r="D15" s="9">
        <v>46022</v>
      </c>
      <c r="E15" s="6">
        <f>YEARFRAC(C15,D15,$D$6)*$C$4*I14</f>
        <v>17.812499999999996</v>
      </c>
      <c r="F15" s="6">
        <f>-E15</f>
        <v>-17.812499999999996</v>
      </c>
      <c r="G15" s="6">
        <v>0</v>
      </c>
      <c r="H15" s="6">
        <f>B15+E15+F15+G15</f>
        <v>1500</v>
      </c>
      <c r="I15" s="10">
        <f>H15</f>
        <v>1500</v>
      </c>
      <c r="J15" s="12" t="s">
        <v>36</v>
      </c>
      <c r="K15" s="11">
        <v>8</v>
      </c>
    </row>
    <row r="16" spans="1:11" x14ac:dyDescent="0.25">
      <c r="A16" s="8" t="s">
        <v>31</v>
      </c>
      <c r="B16" s="6">
        <f>I15</f>
        <v>1500</v>
      </c>
      <c r="C16" s="9">
        <v>46022</v>
      </c>
      <c r="D16" s="9">
        <v>46174</v>
      </c>
      <c r="E16" s="6"/>
      <c r="F16" s="6"/>
      <c r="G16" s="6">
        <v>-500</v>
      </c>
      <c r="H16" s="6">
        <f>B16+G16</f>
        <v>1000</v>
      </c>
      <c r="I16" s="10">
        <f>H16</f>
        <v>1000</v>
      </c>
      <c r="J16" s="12" t="s">
        <v>40</v>
      </c>
      <c r="K16" s="11">
        <v>10</v>
      </c>
    </row>
    <row r="17" spans="1:11" x14ac:dyDescent="0.25">
      <c r="A17" s="8" t="s">
        <v>30</v>
      </c>
      <c r="B17" s="6">
        <f>I16</f>
        <v>1000</v>
      </c>
      <c r="C17" s="9">
        <f>D16</f>
        <v>46174</v>
      </c>
      <c r="D17" s="9">
        <v>46296</v>
      </c>
      <c r="E17" s="6"/>
      <c r="F17" s="6"/>
      <c r="G17" s="6">
        <v>100</v>
      </c>
      <c r="H17" s="6">
        <f>B17+G17</f>
        <v>1100</v>
      </c>
      <c r="I17" s="10">
        <f>H17</f>
        <v>1100</v>
      </c>
      <c r="J17" s="12">
        <v>1</v>
      </c>
      <c r="K17" s="11">
        <v>11</v>
      </c>
    </row>
    <row r="18" spans="1:11" x14ac:dyDescent="0.25">
      <c r="A18" s="8" t="s">
        <v>25</v>
      </c>
      <c r="B18" s="6">
        <v>1500</v>
      </c>
      <c r="C18" s="9">
        <f>C16</f>
        <v>46022</v>
      </c>
      <c r="D18" s="9">
        <v>46387</v>
      </c>
      <c r="E18" s="6">
        <f>YEARFRAC(C18,D18,$D$6)*$C$4*B18</f>
        <v>22.5</v>
      </c>
      <c r="F18" s="6">
        <f>E18+E17+E16</f>
        <v>22.5</v>
      </c>
      <c r="G18" s="6"/>
      <c r="H18" s="6">
        <f>B18+F18</f>
        <v>1522.5</v>
      </c>
      <c r="I18" s="10"/>
      <c r="J18" s="12"/>
      <c r="K18" s="11"/>
    </row>
    <row r="19" spans="1:11" x14ac:dyDescent="0.25">
      <c r="A19" s="8" t="s">
        <v>29</v>
      </c>
      <c r="B19" s="10">
        <f>G16</f>
        <v>-500</v>
      </c>
      <c r="C19" s="9">
        <f>D16</f>
        <v>46174</v>
      </c>
      <c r="D19" s="9">
        <v>46387</v>
      </c>
      <c r="E19" s="6">
        <f>YEARFRAC(C19,D19,$D$6)*$C$4*B19</f>
        <v>-4.354166666666667</v>
      </c>
      <c r="F19" s="6">
        <f>E19</f>
        <v>-4.354166666666667</v>
      </c>
      <c r="G19" s="10"/>
      <c r="H19" s="10">
        <f>H18+F19</f>
        <v>1518.1458333333333</v>
      </c>
      <c r="I19" s="8"/>
      <c r="J19" s="12"/>
      <c r="K19" s="11"/>
    </row>
    <row r="20" spans="1:11" x14ac:dyDescent="0.25">
      <c r="A20" s="8" t="s">
        <v>32</v>
      </c>
      <c r="B20" s="10">
        <v>100</v>
      </c>
      <c r="C20" s="2">
        <v>46296</v>
      </c>
      <c r="D20" s="2">
        <v>46387</v>
      </c>
      <c r="E20" s="6">
        <f>YEARFRAC(C20,D20,$D$6)*$C$4*B20</f>
        <v>0.37083333333333335</v>
      </c>
      <c r="F20" s="5">
        <f>E20</f>
        <v>0.37083333333333335</v>
      </c>
      <c r="H20" s="5">
        <f>H19+F20</f>
        <v>1518.5166666666667</v>
      </c>
      <c r="J20" s="11"/>
      <c r="K20" s="11"/>
    </row>
    <row r="21" spans="1:11" x14ac:dyDescent="0.25">
      <c r="E21" s="5">
        <f>SUM(E18:E20)</f>
        <v>18.516666666666666</v>
      </c>
      <c r="J21" s="11">
        <v>1</v>
      </c>
      <c r="K21" s="11">
        <v>12</v>
      </c>
    </row>
    <row r="22" spans="1:11" x14ac:dyDescent="0.25">
      <c r="J22" s="11"/>
    </row>
    <row r="24" spans="1:11" x14ac:dyDescent="0.25">
      <c r="A24" s="13" t="s">
        <v>33</v>
      </c>
    </row>
    <row r="26" spans="1:11" x14ac:dyDescent="0.25">
      <c r="B26" t="s">
        <v>0</v>
      </c>
      <c r="C26" s="1">
        <v>1.4999999999999999E-2</v>
      </c>
    </row>
    <row r="27" spans="1:11" x14ac:dyDescent="0.25">
      <c r="B27" t="s">
        <v>2</v>
      </c>
      <c r="C27" t="s">
        <v>1</v>
      </c>
      <c r="D27">
        <f>_xlfn.XLOOKUP(C27,helper!$A$7:$A$10,helper!$B$7:$B$10)</f>
        <v>0</v>
      </c>
    </row>
    <row r="28" spans="1:11" x14ac:dyDescent="0.25">
      <c r="B28" t="s">
        <v>8</v>
      </c>
      <c r="C28" t="s">
        <v>9</v>
      </c>
      <c r="D28">
        <f>_xlfn.XLOOKUP(C28,helper!$A$3:$A$4,helper!$B$3:$B$4)</f>
        <v>1</v>
      </c>
    </row>
    <row r="29" spans="1:11" x14ac:dyDescent="0.25">
      <c r="B29" t="s">
        <v>16</v>
      </c>
      <c r="C29" t="s">
        <v>18</v>
      </c>
    </row>
    <row r="31" spans="1:11" x14ac:dyDescent="0.25">
      <c r="A31" t="s">
        <v>3</v>
      </c>
      <c r="B31" s="2">
        <v>45627</v>
      </c>
    </row>
    <row r="33" spans="1:11" ht="30" x14ac:dyDescent="0.25">
      <c r="B33" t="s">
        <v>7</v>
      </c>
      <c r="C33" t="s">
        <v>4</v>
      </c>
      <c r="D33" t="s">
        <v>5</v>
      </c>
      <c r="E33" t="s">
        <v>0</v>
      </c>
      <c r="F33" s="7" t="s">
        <v>21</v>
      </c>
      <c r="G33" t="s">
        <v>17</v>
      </c>
      <c r="H33" t="s">
        <v>6</v>
      </c>
      <c r="I33" t="s">
        <v>19</v>
      </c>
      <c r="J33" s="11" t="s">
        <v>23</v>
      </c>
      <c r="K33" t="s">
        <v>28</v>
      </c>
    </row>
    <row r="34" spans="1:11" x14ac:dyDescent="0.25">
      <c r="A34" s="8" t="s">
        <v>20</v>
      </c>
      <c r="B34" s="6">
        <v>0</v>
      </c>
      <c r="C34" s="8"/>
      <c r="D34" s="9">
        <v>45656</v>
      </c>
      <c r="E34" s="6"/>
      <c r="F34" s="6"/>
      <c r="G34" s="6"/>
      <c r="H34" s="6">
        <v>1000</v>
      </c>
      <c r="I34" s="10">
        <f>H34</f>
        <v>1000</v>
      </c>
      <c r="J34" s="12">
        <v>1</v>
      </c>
      <c r="K34" s="11">
        <v>1</v>
      </c>
    </row>
    <row r="35" spans="1:11" x14ac:dyDescent="0.25">
      <c r="A35" s="8" t="s">
        <v>34</v>
      </c>
      <c r="B35" s="6">
        <f>I34</f>
        <v>1000</v>
      </c>
      <c r="C35" s="9">
        <f>D34</f>
        <v>45656</v>
      </c>
      <c r="D35" s="9">
        <v>45657</v>
      </c>
      <c r="E35" s="6">
        <f>YEARFRAC(C35,D35,$D$28)*$C$26*B35</f>
        <v>4.0983606557377046E-2</v>
      </c>
      <c r="F35" s="6">
        <f>-E35</f>
        <v>-4.0983606557377046E-2</v>
      </c>
      <c r="G35" s="6"/>
      <c r="H35" s="6">
        <f>B35+E35+F35</f>
        <v>1000</v>
      </c>
      <c r="I35" s="10">
        <f>H35</f>
        <v>1000</v>
      </c>
      <c r="J35" s="12" t="s">
        <v>37</v>
      </c>
      <c r="K35" s="11">
        <v>3</v>
      </c>
    </row>
    <row r="36" spans="1:11" x14ac:dyDescent="0.25">
      <c r="A36" t="s">
        <v>13</v>
      </c>
      <c r="B36" s="5">
        <f>I35</f>
        <v>1000</v>
      </c>
      <c r="C36" s="2">
        <f>D35</f>
        <v>45657</v>
      </c>
      <c r="D36" s="2">
        <v>45731</v>
      </c>
      <c r="E36" s="6">
        <f>YEARFRAC(C36,D36,$D$28)*$C$26*B36</f>
        <v>3.0410958904109586</v>
      </c>
      <c r="F36" s="5">
        <f>-E36</f>
        <v>-3.0410958904109586</v>
      </c>
      <c r="G36">
        <v>500</v>
      </c>
      <c r="H36" s="5">
        <f>B36+E36+F36+G36</f>
        <v>1500</v>
      </c>
      <c r="I36" s="5">
        <f>H36</f>
        <v>1500</v>
      </c>
      <c r="J36" s="11">
        <v>2.4</v>
      </c>
      <c r="K36" s="11">
        <v>5</v>
      </c>
    </row>
    <row r="37" spans="1:11" x14ac:dyDescent="0.25">
      <c r="A37" t="s">
        <v>35</v>
      </c>
      <c r="B37" s="5">
        <f>I36</f>
        <v>1500</v>
      </c>
      <c r="C37" s="2">
        <f>D36</f>
        <v>45731</v>
      </c>
      <c r="D37" s="2">
        <v>46022</v>
      </c>
      <c r="E37" s="6">
        <f>YEARFRAC(C37,D37,$D$28)*$C$26*B37</f>
        <v>17.93835616438356</v>
      </c>
      <c r="F37" s="5">
        <f>-E37</f>
        <v>-17.93835616438356</v>
      </c>
      <c r="H37" s="5">
        <f>B37+E37+F37</f>
        <v>1500</v>
      </c>
      <c r="I37" s="5">
        <f>H37</f>
        <v>1500</v>
      </c>
      <c r="J37" s="11" t="s">
        <v>38</v>
      </c>
      <c r="K37" s="11">
        <v>8</v>
      </c>
    </row>
    <row r="38" spans="1:11" x14ac:dyDescent="0.25">
      <c r="A38" t="s">
        <v>41</v>
      </c>
      <c r="B38" s="5">
        <f>I37</f>
        <v>1500</v>
      </c>
      <c r="C38" s="2">
        <f>D37</f>
        <v>46022</v>
      </c>
      <c r="D38" s="2">
        <v>45809</v>
      </c>
      <c r="G38">
        <v>-500</v>
      </c>
      <c r="H38" s="5">
        <f>B38+G38</f>
        <v>1000</v>
      </c>
      <c r="I38" s="5">
        <f>H38</f>
        <v>1000</v>
      </c>
      <c r="J38" s="11">
        <v>32.200000000000003</v>
      </c>
      <c r="K38" s="11">
        <v>10</v>
      </c>
    </row>
    <row r="39" spans="1:11" x14ac:dyDescent="0.25">
      <c r="A39" t="s">
        <v>42</v>
      </c>
      <c r="B39" s="5">
        <f>I38</f>
        <v>1000</v>
      </c>
      <c r="C39" s="2">
        <f>D38</f>
        <v>45809</v>
      </c>
      <c r="D39" s="2">
        <v>45931</v>
      </c>
      <c r="G39">
        <v>100</v>
      </c>
      <c r="H39" s="5">
        <f>B39+G39</f>
        <v>1100</v>
      </c>
      <c r="I39" s="5">
        <f>H39</f>
        <v>1100</v>
      </c>
      <c r="J39" s="11">
        <v>1</v>
      </c>
      <c r="K39" s="11">
        <v>11</v>
      </c>
    </row>
    <row r="40" spans="1:11" x14ac:dyDescent="0.25">
      <c r="A40" t="s">
        <v>25</v>
      </c>
      <c r="B40" s="5">
        <f>H37</f>
        <v>1500</v>
      </c>
      <c r="C40" s="2">
        <v>46022</v>
      </c>
      <c r="D40" s="2">
        <v>46387</v>
      </c>
      <c r="E40" s="6">
        <f>YEARFRAC(C40,D40,$D$28)*$C$26*B40</f>
        <v>22.5</v>
      </c>
      <c r="F40" s="5">
        <f>-E40</f>
        <v>-22.5</v>
      </c>
      <c r="J40" s="11"/>
    </row>
    <row r="41" spans="1:11" x14ac:dyDescent="0.25">
      <c r="A41" t="s">
        <v>29</v>
      </c>
      <c r="B41" s="5">
        <f>G38</f>
        <v>-500</v>
      </c>
      <c r="C41" s="2">
        <v>46174</v>
      </c>
      <c r="D41" s="2">
        <v>46387</v>
      </c>
      <c r="E41" s="6">
        <f>YEARFRAC(C41,D41,$D$28)*$C$26*B41</f>
        <v>-4.3767123287671232</v>
      </c>
      <c r="F41" s="5">
        <f>-E41</f>
        <v>4.3767123287671232</v>
      </c>
      <c r="J41" s="11"/>
    </row>
    <row r="42" spans="1:11" x14ac:dyDescent="0.25">
      <c r="A42" t="s">
        <v>32</v>
      </c>
      <c r="B42">
        <v>100</v>
      </c>
      <c r="C42" s="2">
        <v>46296</v>
      </c>
      <c r="D42" s="2">
        <v>46387</v>
      </c>
      <c r="E42" s="6">
        <f>YEARFRAC(C42,D42,$D$28)*$C$26*B42</f>
        <v>0.37397260273972605</v>
      </c>
      <c r="F42" s="5">
        <f>-E42</f>
        <v>-0.37397260273972605</v>
      </c>
      <c r="J42" s="11"/>
    </row>
    <row r="43" spans="1:11" x14ac:dyDescent="0.25">
      <c r="E43" s="5">
        <f>SUM(E40:E42)</f>
        <v>18.497260273972604</v>
      </c>
      <c r="J43" s="11">
        <v>8</v>
      </c>
      <c r="K43" s="11">
        <v>12</v>
      </c>
    </row>
    <row r="44" spans="1:11" x14ac:dyDescent="0.25">
      <c r="J44" s="11"/>
    </row>
    <row r="45" spans="1:11" x14ac:dyDescent="0.25">
      <c r="J45" s="11"/>
    </row>
    <row r="46" spans="1:11" x14ac:dyDescent="0.25">
      <c r="A46" s="13" t="s">
        <v>43</v>
      </c>
      <c r="J46" s="11"/>
    </row>
    <row r="47" spans="1:11" x14ac:dyDescent="0.25">
      <c r="J47" s="11"/>
    </row>
    <row r="48" spans="1:11" x14ac:dyDescent="0.25">
      <c r="B48" t="s">
        <v>0</v>
      </c>
      <c r="C48" s="1">
        <v>1.4999999999999999E-2</v>
      </c>
      <c r="J48" s="11"/>
    </row>
    <row r="49" spans="1:11" x14ac:dyDescent="0.25">
      <c r="B49" t="s">
        <v>2</v>
      </c>
      <c r="C49" t="s">
        <v>13</v>
      </c>
      <c r="D49">
        <f>_xlfn.XLOOKUP(C49,helper!$A$7:$A$10,helper!$B$7:$B$10)</f>
        <v>1</v>
      </c>
      <c r="J49" s="11"/>
    </row>
    <row r="50" spans="1:11" x14ac:dyDescent="0.25">
      <c r="B50" t="s">
        <v>8</v>
      </c>
      <c r="C50" t="s">
        <v>10</v>
      </c>
      <c r="D50">
        <f>_xlfn.XLOOKUP(C50,helper!$A$3:$A$4,helper!$B$3:$B$4)</f>
        <v>4</v>
      </c>
    </row>
    <row r="51" spans="1:11" x14ac:dyDescent="0.25">
      <c r="B51" t="s">
        <v>16</v>
      </c>
      <c r="C51" t="s">
        <v>18</v>
      </c>
    </row>
    <row r="53" spans="1:11" x14ac:dyDescent="0.25">
      <c r="A53" t="s">
        <v>3</v>
      </c>
      <c r="B53" s="2">
        <v>45627</v>
      </c>
    </row>
    <row r="55" spans="1:11" ht="30" x14ac:dyDescent="0.25">
      <c r="B55" t="s">
        <v>7</v>
      </c>
      <c r="C55" t="s">
        <v>4</v>
      </c>
      <c r="D55" t="s">
        <v>5</v>
      </c>
      <c r="E55" t="s">
        <v>0</v>
      </c>
      <c r="F55" s="7" t="s">
        <v>21</v>
      </c>
      <c r="G55" t="s">
        <v>17</v>
      </c>
      <c r="H55" t="s">
        <v>6</v>
      </c>
      <c r="I55" t="s">
        <v>19</v>
      </c>
      <c r="J55" s="11" t="s">
        <v>23</v>
      </c>
      <c r="K55" t="s">
        <v>28</v>
      </c>
    </row>
    <row r="56" spans="1:11" x14ac:dyDescent="0.25">
      <c r="A56" s="8" t="s">
        <v>20</v>
      </c>
      <c r="B56" s="6">
        <v>0</v>
      </c>
      <c r="C56" s="8"/>
      <c r="D56" s="9">
        <v>45656</v>
      </c>
      <c r="E56" s="6"/>
      <c r="F56" s="6"/>
      <c r="G56" s="6"/>
      <c r="H56" s="6">
        <v>1000</v>
      </c>
      <c r="I56" s="10">
        <f>H56</f>
        <v>1000</v>
      </c>
      <c r="J56" s="12">
        <v>1</v>
      </c>
      <c r="K56" s="11">
        <v>1</v>
      </c>
    </row>
    <row r="57" spans="1:11" x14ac:dyDescent="0.25">
      <c r="A57" t="s">
        <v>44</v>
      </c>
      <c r="B57" s="5">
        <f>I56</f>
        <v>1000</v>
      </c>
      <c r="C57" s="2">
        <f>D56</f>
        <v>45656</v>
      </c>
      <c r="D57" s="2">
        <v>45657</v>
      </c>
      <c r="E57" s="4">
        <f>YEARFRAC(C57,D57,$D$50)*$C$48*B57</f>
        <v>0</v>
      </c>
      <c r="F57" s="4"/>
      <c r="G57" s="4"/>
      <c r="H57" s="5">
        <f>B57+E57</f>
        <v>1000</v>
      </c>
      <c r="I57" s="5">
        <f>H57</f>
        <v>1000</v>
      </c>
      <c r="J57" s="11">
        <v>8</v>
      </c>
      <c r="K57" s="11">
        <v>2</v>
      </c>
    </row>
    <row r="58" spans="1:11" x14ac:dyDescent="0.25">
      <c r="A58" t="s">
        <v>13</v>
      </c>
      <c r="B58" s="5">
        <f>I57</f>
        <v>1000</v>
      </c>
      <c r="C58" s="2">
        <f>D57</f>
        <v>45657</v>
      </c>
      <c r="D58" s="2">
        <v>45731</v>
      </c>
      <c r="E58" s="14">
        <f>ROUND(YEARFRAC(C58,D58,$D$50)*$C$48*B58,2)</f>
        <v>3.13</v>
      </c>
      <c r="F58" s="4"/>
      <c r="G58" s="4">
        <v>500</v>
      </c>
      <c r="H58" s="5">
        <f>B58+E58+G58</f>
        <v>1503.13</v>
      </c>
      <c r="I58" s="5">
        <f>H58</f>
        <v>1503.13</v>
      </c>
      <c r="J58" s="11">
        <v>4.0999999999999996</v>
      </c>
      <c r="K58" s="11">
        <v>4</v>
      </c>
    </row>
    <row r="59" spans="1:11" x14ac:dyDescent="0.25">
      <c r="A59" t="s">
        <v>35</v>
      </c>
      <c r="B59" s="4">
        <f>I58</f>
        <v>1503.13</v>
      </c>
      <c r="C59" s="2">
        <f>D58</f>
        <v>45731</v>
      </c>
      <c r="D59" s="2">
        <v>46022</v>
      </c>
      <c r="E59" s="14">
        <f>YEARFRAC(C59,D59,$D$50)*$C$48*B59</f>
        <v>17.849668749999999</v>
      </c>
      <c r="F59" s="4"/>
      <c r="G59" s="4"/>
      <c r="H59" s="5">
        <f>E59+B59</f>
        <v>1520.9796687500002</v>
      </c>
      <c r="I59" s="5">
        <f>H59</f>
        <v>1520.9796687500002</v>
      </c>
      <c r="J59" s="11">
        <v>8</v>
      </c>
      <c r="K59" s="11">
        <v>5</v>
      </c>
    </row>
    <row r="60" spans="1:11" x14ac:dyDescent="0.25">
      <c r="A60" t="s">
        <v>41</v>
      </c>
      <c r="B60" s="4">
        <f>I59</f>
        <v>1520.9796687500002</v>
      </c>
      <c r="C60" s="2">
        <f>D59</f>
        <v>46022</v>
      </c>
      <c r="D60" s="2">
        <v>46174</v>
      </c>
      <c r="E60" s="4"/>
      <c r="F60" s="4"/>
      <c r="G60" s="4">
        <v>-500</v>
      </c>
      <c r="H60" s="5">
        <f>B60+G60</f>
        <v>1020.9796687500002</v>
      </c>
      <c r="I60" s="5">
        <f>H60</f>
        <v>1020.9796687500002</v>
      </c>
      <c r="J60" s="11" t="s">
        <v>40</v>
      </c>
      <c r="K60" s="11">
        <v>7</v>
      </c>
    </row>
    <row r="61" spans="1:11" x14ac:dyDescent="0.25">
      <c r="A61" t="s">
        <v>42</v>
      </c>
      <c r="B61" s="4">
        <f>I60</f>
        <v>1020.9796687500002</v>
      </c>
      <c r="C61" s="2">
        <f>D60</f>
        <v>46174</v>
      </c>
      <c r="D61" s="2">
        <v>46296</v>
      </c>
      <c r="E61" s="4"/>
      <c r="F61" s="4"/>
      <c r="G61" s="4">
        <v>100</v>
      </c>
      <c r="H61" s="5">
        <f>B61+G61</f>
        <v>1120.9796687500002</v>
      </c>
      <c r="I61" s="5">
        <f>H61</f>
        <v>1120.9796687500002</v>
      </c>
      <c r="J61" s="11">
        <v>1</v>
      </c>
      <c r="K61" s="11">
        <v>8</v>
      </c>
    </row>
    <row r="62" spans="1:11" x14ac:dyDescent="0.25">
      <c r="A62" t="s">
        <v>25</v>
      </c>
      <c r="B62" s="4">
        <f>H59</f>
        <v>1520.9796687500002</v>
      </c>
      <c r="C62" s="2">
        <v>46022</v>
      </c>
      <c r="D62" s="2">
        <v>46387</v>
      </c>
      <c r="E62" s="14">
        <f>YEARFRAC(C62,D62,$D$50)*$C$48*B62</f>
        <v>22.814695031250004</v>
      </c>
      <c r="F62" s="4"/>
      <c r="G62" s="4"/>
      <c r="J62" s="11"/>
      <c r="K62" s="11"/>
    </row>
    <row r="63" spans="1:11" x14ac:dyDescent="0.25">
      <c r="A63" t="s">
        <v>29</v>
      </c>
      <c r="B63" s="4">
        <f>G60</f>
        <v>-500</v>
      </c>
      <c r="C63" s="2">
        <f>D60</f>
        <v>46174</v>
      </c>
      <c r="D63" s="2">
        <f>D62</f>
        <v>46387</v>
      </c>
      <c r="E63" s="14">
        <f>YEARFRAC(C63,D63,$D$50)*$C$48*B63</f>
        <v>-4.354166666666667</v>
      </c>
      <c r="F63" s="4"/>
      <c r="G63" s="4"/>
      <c r="J63" s="11"/>
      <c r="K63" s="11"/>
    </row>
    <row r="64" spans="1:11" x14ac:dyDescent="0.25">
      <c r="A64" t="s">
        <v>32</v>
      </c>
      <c r="B64" s="4">
        <f>G61</f>
        <v>100</v>
      </c>
      <c r="C64" s="2">
        <f>D61</f>
        <v>46296</v>
      </c>
      <c r="D64" s="2">
        <f>D63</f>
        <v>46387</v>
      </c>
      <c r="E64" s="14">
        <f>YEARFRAC(C64,D64,$D$50)*$C$48*B64</f>
        <v>0.37083333333333335</v>
      </c>
      <c r="F64" s="4"/>
      <c r="G64" s="4"/>
      <c r="J64" s="11"/>
      <c r="K64" s="11"/>
    </row>
    <row r="65" spans="2:11" x14ac:dyDescent="0.25">
      <c r="B65" s="4"/>
      <c r="E65" s="4">
        <f>SUM(E62:E64)</f>
        <v>18.83136169791667</v>
      </c>
      <c r="F65" s="4"/>
      <c r="G65" s="4"/>
      <c r="H65" s="5">
        <f>I61+E65</f>
        <v>1139.8110304479169</v>
      </c>
      <c r="J65" s="11">
        <v>8</v>
      </c>
      <c r="K65" s="11">
        <v>9</v>
      </c>
    </row>
    <row r="66" spans="2:11" x14ac:dyDescent="0.25">
      <c r="B66" s="4"/>
      <c r="E66" s="4"/>
      <c r="F66" s="4"/>
      <c r="G66" s="4"/>
      <c r="J66" s="11"/>
      <c r="K66" s="11"/>
    </row>
    <row r="67" spans="2:11" x14ac:dyDescent="0.25">
      <c r="E67" s="4"/>
      <c r="F67" s="4"/>
      <c r="G67" s="4"/>
      <c r="J67" s="11"/>
      <c r="K67" s="11"/>
    </row>
    <row r="68" spans="2:11" x14ac:dyDescent="0.25">
      <c r="E68" s="4"/>
      <c r="F68" s="4"/>
      <c r="G68" s="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64F46495-6B72-406B-8184-BA5EFA66DABA}">
          <x14:formula1>
            <xm:f>helper!$A$3:$A$4</xm:f>
          </x14:formula1>
          <xm:sqref>C6 C28 C50</xm:sqref>
        </x14:dataValidation>
        <x14:dataValidation type="list" showInputMessage="1" showErrorMessage="1" xr:uid="{2D379AA0-E7CD-4AE9-899C-4D699BB5DEE2}">
          <x14:formula1>
            <xm:f>helper!$A$7:$A$10</xm:f>
          </x14:formula1>
          <xm:sqref>C5 C27 C49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BE31-BBA8-463F-9B4B-50BDB8A9C40B}">
  <dimension ref="A2:B10"/>
  <sheetViews>
    <sheetView workbookViewId="0">
      <selection activeCell="A11" sqref="A11"/>
    </sheetView>
  </sheetViews>
  <sheetFormatPr baseColWidth="10" defaultRowHeight="15" x14ac:dyDescent="0.25"/>
  <sheetData>
    <row r="2" spans="1:2" x14ac:dyDescent="0.25">
      <c r="A2" t="s">
        <v>11</v>
      </c>
      <c r="B2" t="s">
        <v>12</v>
      </c>
    </row>
    <row r="3" spans="1:2" x14ac:dyDescent="0.25">
      <c r="A3" t="s">
        <v>9</v>
      </c>
      <c r="B3">
        <v>1</v>
      </c>
    </row>
    <row r="4" spans="1:2" x14ac:dyDescent="0.25">
      <c r="A4" s="3" t="s">
        <v>10</v>
      </c>
      <c r="B4">
        <v>4</v>
      </c>
    </row>
    <row r="7" spans="1:2" x14ac:dyDescent="0.25">
      <c r="A7" t="s">
        <v>1</v>
      </c>
      <c r="B7">
        <v>0</v>
      </c>
    </row>
    <row r="8" spans="1:2" x14ac:dyDescent="0.25">
      <c r="A8" t="s">
        <v>13</v>
      </c>
      <c r="B8">
        <v>1</v>
      </c>
    </row>
    <row r="9" spans="1:2" x14ac:dyDescent="0.25">
      <c r="A9" t="s">
        <v>14</v>
      </c>
      <c r="B9">
        <v>2</v>
      </c>
    </row>
    <row r="10" spans="1:2" x14ac:dyDescent="0.25">
      <c r="A10" t="s">
        <v>15</v>
      </c>
      <c r="B10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calc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Holger Mairon</dc:creator>
  <cp:lastModifiedBy>Holger Mairon</cp:lastModifiedBy>
  <dcterms:created xsi:type="dcterms:W3CDTF">2026-04-15T15:00:07Z</dcterms:created>
  <dcterms:modified xsi:type="dcterms:W3CDTF">2026-04-16T20:32:57Z</dcterms:modified>
</cp:coreProperties>
</file>